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GitHub\Software Actuarial\Software-Actuarial-1\"/>
    </mc:Choice>
  </mc:AlternateContent>
  <xr:revisionPtr revIDLastSave="0" documentId="13_ncr:1_{00B74BD2-1591-453E-9A0D-23FE4EE498BF}" xr6:coauthVersionLast="41" xr6:coauthVersionMax="41" xr10:uidLastSave="{00000000-0000-0000-0000-000000000000}"/>
  <bookViews>
    <workbookView xWindow="-120" yWindow="-120" windowWidth="20640" windowHeight="11160" xr2:uid="{00000000-000D-0000-FFFF-FFFF00000000}"/>
  </bookViews>
  <sheets>
    <sheet name="Hoja7" sheetId="7" r:id="rId1"/>
    <sheet name="Hoja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  <c r="C11" i="1" l="1"/>
  <c r="D11" i="1"/>
  <c r="E11" i="1"/>
  <c r="F11" i="1"/>
  <c r="G11" i="1"/>
  <c r="H11" i="1"/>
  <c r="I11" i="1"/>
  <c r="J11" i="1"/>
  <c r="K11" i="1"/>
  <c r="C10" i="1"/>
  <c r="D10" i="1" s="1"/>
  <c r="E10" i="1" s="1"/>
  <c r="F10" i="1" s="1"/>
  <c r="G10" i="1" s="1"/>
  <c r="H10" i="1" s="1"/>
  <c r="I10" i="1" s="1"/>
  <c r="J10" i="1" s="1"/>
  <c r="K10" i="1" s="1"/>
  <c r="B13" i="1" l="1"/>
</calcChain>
</file>

<file path=xl/sharedStrings.xml><?xml version="1.0" encoding="utf-8"?>
<sst xmlns="http://schemas.openxmlformats.org/spreadsheetml/2006/main" count="26" uniqueCount="21">
  <si>
    <t>Datos de Entrada</t>
  </si>
  <si>
    <t>Flujo de entrega al final del año 1</t>
  </si>
  <si>
    <t>Tasa de incremento del flujo de entrada al año</t>
  </si>
  <si>
    <t>Número de años de los flujos de entrada</t>
  </si>
  <si>
    <t>Tasa de descuento</t>
  </si>
  <si>
    <t>Cálculo de el valor presente neto de una serie de flujos</t>
  </si>
  <si>
    <t>Flujo de salida  al inicio del año 1 (Inv.Inicial)</t>
  </si>
  <si>
    <t>Modelo de flujos</t>
  </si>
  <si>
    <t>Año</t>
  </si>
  <si>
    <t>Flujo de efectivo</t>
  </si>
  <si>
    <t>Factor de descuento</t>
  </si>
  <si>
    <t>Valor presente neto</t>
  </si>
  <si>
    <t>(Interés simple)</t>
  </si>
  <si>
    <t>Datos de entrada</t>
  </si>
  <si>
    <t>Tasa de interés</t>
  </si>
  <si>
    <t>Modelo de Flujos</t>
  </si>
  <si>
    <t>Flujo de Efectivo</t>
  </si>
  <si>
    <t>Factor de Descuento</t>
  </si>
  <si>
    <t>Valor Presente Neto</t>
  </si>
  <si>
    <t>tasa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</si>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</sst>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0" fontId="0" fillId="0" borderId="1" xfId="0" applyBorder="1"/>
    <xf numFmtId="0" fontId="1" fillId="0" borderId="0" xfId="0" applyFont="1"/>
    <xf numFmtId="44" fontId="0" fillId="0" borderId="0" xfId="1" applyFont="1"/>
    <xf numFmtId="0" fontId="3" fillId="0" borderId="1" xfId="0" applyFont="1" applyBorder="1"/>
    <xf numFmtId="44" fontId="0" fillId="2" borderId="1" xfId="1" applyFont="1" applyFill="1" applyBorder="1"/>
    <xf numFmtId="9" fontId="0" fillId="2" borderId="1" xfId="2" applyFont="1" applyFill="1" applyBorder="1"/>
    <xf numFmtId="0" fontId="0" fillId="2" borderId="1" xfId="0" applyFill="1" applyBorder="1"/>
    <xf numFmtId="44" fontId="0" fillId="0" borderId="1" xfId="1" applyFont="1" applyBorder="1"/>
    <xf numFmtId="0" fontId="0" fillId="3" borderId="1" xfId="0" applyFill="1" applyBorder="1"/>
    <xf numFmtId="9" fontId="0" fillId="0" borderId="0" xfId="2" applyFont="1"/>
    <xf numFmtId="0" fontId="0" fillId="0" borderId="0" xfId="0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491D-1CB3-4625-A090-974D73AD86EB}">
  <sheetPr codeName="Hoja7"/>
  <dimension ref="A1:K20"/>
  <sheetViews>
    <sheetView tabSelected="1" workbookViewId="0">
      <selection activeCell="J20" sqref="J20"/>
    </sheetView>
  </sheetViews>
  <sheetFormatPr baseColWidth="10" defaultRowHeight="15" x14ac:dyDescent="0.25"/>
  <cols>
    <col min="1" max="1" width="42.7109375" bestFit="1" customWidth="1"/>
  </cols>
  <sheetData>
    <row r="1" spans="1:11" x14ac:dyDescent="0.25">
      <c r="A1" s="5" t="s">
        <v>13</v>
      </c>
    </row>
    <row r="2" spans="1:11" x14ac:dyDescent="0.25">
      <c r="A2" s="2" t="s">
        <v>6</v>
      </c>
      <c r="B2" s="6">
        <v>40000</v>
      </c>
    </row>
    <row r="3" spans="1:11" x14ac:dyDescent="0.25">
      <c r="A3" s="2" t="s">
        <v>1</v>
      </c>
      <c r="B3" s="6">
        <v>12000</v>
      </c>
    </row>
    <row r="4" spans="1:11" x14ac:dyDescent="0.25">
      <c r="A4" s="2" t="s">
        <v>2</v>
      </c>
      <c r="B4" s="7">
        <v>0.11999999731779099</v>
      </c>
    </row>
    <row r="5" spans="1:11" x14ac:dyDescent="0.25">
      <c r="A5" s="2" t="s">
        <v>3</v>
      </c>
      <c r="B5" s="8">
        <v>10</v>
      </c>
    </row>
    <row r="6" spans="1:11" x14ac:dyDescent="0.25">
      <c r="A6" s="2" t="s">
        <v>14</v>
      </c>
      <c r="B6" s="7">
        <v>0.15999999642372131</v>
      </c>
    </row>
    <row r="8" spans="1:11" x14ac:dyDescent="0.25">
      <c r="A8" s="2" t="s">
        <v>15</v>
      </c>
    </row>
    <row r="9" spans="1:11" x14ac:dyDescent="0.25">
      <c r="A9" s="2" t="s">
        <v>8</v>
      </c>
      <c r="B9" s="10">
        <v>1</v>
      </c>
      <c r="C9" s="10">
        <v>2</v>
      </c>
      <c r="D9" s="10">
        <v>3</v>
      </c>
      <c r="E9" s="10">
        <v>4</v>
      </c>
      <c r="F9" s="10">
        <v>5</v>
      </c>
      <c r="G9" s="10">
        <v>6</v>
      </c>
      <c r="H9" s="10">
        <v>7</v>
      </c>
      <c r="I9" s="10">
        <v>8</v>
      </c>
      <c r="J9" s="10">
        <v>9</v>
      </c>
      <c r="K9" s="10">
        <v>10</v>
      </c>
    </row>
    <row r="10" spans="1:11" x14ac:dyDescent="0.25">
      <c r="A10" s="2" t="s">
        <v>16</v>
      </c>
      <c r="B10" s="2">
        <v>12000</v>
      </c>
      <c r="C10" s="2">
        <v>13440.000057220459</v>
      </c>
      <c r="D10" s="2">
        <v>15052.800128173829</v>
      </c>
      <c r="E10" s="2">
        <v>16859.136215332033</v>
      </c>
      <c r="F10" s="2">
        <v>18882.232641562499</v>
      </c>
      <c r="G10" s="2">
        <v>21148.100648587504</v>
      </c>
      <c r="H10" s="2">
        <v>23685.872827260006</v>
      </c>
      <c r="I10" s="2">
        <v>26528.177679474251</v>
      </c>
      <c r="J10" s="2">
        <v>29711.559127507371</v>
      </c>
      <c r="K10" s="2">
        <v>33276.946364484007</v>
      </c>
    </row>
    <row r="11" spans="1:11" x14ac:dyDescent="0.25">
      <c r="A11" s="2" t="s">
        <v>17</v>
      </c>
      <c r="B11" s="2">
        <v>0.9009009009009008</v>
      </c>
      <c r="C11" s="2">
        <v>0.81967213114754101</v>
      </c>
      <c r="D11" s="2">
        <v>0.75187969924812026</v>
      </c>
      <c r="E11" s="2">
        <v>0.69444444444444442</v>
      </c>
      <c r="F11" s="2">
        <v>0.64516129032258063</v>
      </c>
      <c r="G11" s="2">
        <v>0.60240963855421681</v>
      </c>
      <c r="H11" s="2">
        <v>0.56497175141242939</v>
      </c>
      <c r="I11" s="2">
        <v>0.53191489361702127</v>
      </c>
      <c r="J11" s="2">
        <v>0.50251256281407031</v>
      </c>
      <c r="K11" s="2">
        <v>0.47619047619047616</v>
      </c>
    </row>
    <row r="13" spans="1:11" x14ac:dyDescent="0.25">
      <c r="A13" s="2" t="s">
        <v>18</v>
      </c>
      <c r="B13" s="9">
        <v>70040.837917748897</v>
      </c>
    </row>
    <row r="15" spans="1:11" x14ac:dyDescent="0.25">
      <c r="J15" s="2" t="s">
        <v>19</v>
      </c>
      <c r="K15" s="2" t="s">
        <v>20</v>
      </c>
    </row>
    <row r="16" spans="1:11" x14ac:dyDescent="0.25">
      <c r="J16" s="11">
        <v>0.16</v>
      </c>
      <c r="K16" s="4">
        <v>70040.835521564703</v>
      </c>
    </row>
    <row r="17" spans="10:11" x14ac:dyDescent="0.25">
      <c r="J17" s="11">
        <v>0.16</v>
      </c>
      <c r="K17" s="4">
        <v>70040.835521564703</v>
      </c>
    </row>
    <row r="18" spans="10:11" x14ac:dyDescent="0.25">
      <c r="J18" s="11">
        <v>0.34332000000000001</v>
      </c>
      <c r="K18" s="4">
        <v>34094.087678401047</v>
      </c>
    </row>
    <row r="19" spans="10:11" x14ac:dyDescent="0.25">
      <c r="J19" s="11">
        <v>0.23</v>
      </c>
      <c r="K19" s="4">
        <v>52495.459974261466</v>
      </c>
    </row>
    <row r="20" spans="10:11" x14ac:dyDescent="0.25">
      <c r="J20" s="11">
        <v>0.11</v>
      </c>
      <c r="K20" s="4">
        <v>88043.916380458279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15"/>
  <sheetViews>
    <sheetView zoomScaleNormal="100" workbookViewId="0">
      <selection activeCell="A20" sqref="A20"/>
    </sheetView>
  </sheetViews>
  <sheetFormatPr baseColWidth="10" defaultRowHeight="15" x14ac:dyDescent="0.25"/>
  <cols>
    <col min="1" max="1" width="40.7109375" customWidth="1"/>
  </cols>
  <sheetData>
    <row r="1" spans="1:11" x14ac:dyDescent="0.25">
      <c r="A1" t="s">
        <v>0</v>
      </c>
      <c r="C1" s="12" t="s">
        <v>5</v>
      </c>
      <c r="D1" s="12"/>
      <c r="E1" s="12"/>
      <c r="F1" s="12"/>
      <c r="G1" s="12"/>
      <c r="H1" s="12"/>
    </row>
    <row r="2" spans="1:11" x14ac:dyDescent="0.25">
      <c r="A2" t="s">
        <v>6</v>
      </c>
      <c r="B2">
        <v>40000</v>
      </c>
    </row>
    <row r="3" spans="1:11" x14ac:dyDescent="0.25">
      <c r="A3" t="s">
        <v>1</v>
      </c>
      <c r="B3">
        <v>12000</v>
      </c>
    </row>
    <row r="4" spans="1:11" x14ac:dyDescent="0.25">
      <c r="A4" t="s">
        <v>2</v>
      </c>
      <c r="B4" s="1">
        <v>0.12</v>
      </c>
    </row>
    <row r="5" spans="1:11" x14ac:dyDescent="0.25">
      <c r="A5" t="s">
        <v>3</v>
      </c>
      <c r="B5">
        <v>10</v>
      </c>
    </row>
    <row r="6" spans="1:11" x14ac:dyDescent="0.25">
      <c r="A6" t="s">
        <v>4</v>
      </c>
      <c r="B6" s="1">
        <v>0.16</v>
      </c>
      <c r="C6" t="s">
        <v>12</v>
      </c>
    </row>
    <row r="8" spans="1:11" x14ac:dyDescent="0.25">
      <c r="A8" t="s">
        <v>7</v>
      </c>
    </row>
    <row r="9" spans="1:11" x14ac:dyDescent="0.25">
      <c r="A9" s="2" t="s">
        <v>8</v>
      </c>
      <c r="B9" s="2">
        <v>1</v>
      </c>
      <c r="C9" s="2">
        <v>2</v>
      </c>
      <c r="D9" s="2">
        <v>3</v>
      </c>
      <c r="E9" s="2">
        <v>4</v>
      </c>
      <c r="F9" s="2">
        <v>5</v>
      </c>
      <c r="G9" s="2">
        <v>6</v>
      </c>
      <c r="H9" s="2">
        <v>7</v>
      </c>
      <c r="I9" s="2">
        <v>8</v>
      </c>
      <c r="J9" s="2">
        <v>9</v>
      </c>
      <c r="K9" s="2">
        <v>10</v>
      </c>
    </row>
    <row r="10" spans="1:11" x14ac:dyDescent="0.25">
      <c r="A10" s="2" t="s">
        <v>9</v>
      </c>
      <c r="B10" s="2">
        <v>12000</v>
      </c>
      <c r="C10" s="2">
        <f>B10*(1+$B$4)</f>
        <v>13440.000000000002</v>
      </c>
      <c r="D10" s="2">
        <f t="shared" ref="D10:K10" si="0">C10*(1+$B$4)</f>
        <v>15052.800000000003</v>
      </c>
      <c r="E10" s="2">
        <f t="shared" si="0"/>
        <v>16859.136000000006</v>
      </c>
      <c r="F10" s="2">
        <f t="shared" si="0"/>
        <v>18882.23232000001</v>
      </c>
      <c r="G10" s="2">
        <f t="shared" si="0"/>
        <v>21148.100198400014</v>
      </c>
      <c r="H10" s="2">
        <f t="shared" si="0"/>
        <v>23685.872222208018</v>
      </c>
      <c r="I10" s="2">
        <f t="shared" si="0"/>
        <v>26528.176888872982</v>
      </c>
      <c r="J10" s="2">
        <f t="shared" si="0"/>
        <v>29711.558115537744</v>
      </c>
      <c r="K10" s="2">
        <f t="shared" si="0"/>
        <v>33276.945089402274</v>
      </c>
    </row>
    <row r="11" spans="1:11" x14ac:dyDescent="0.25">
      <c r="A11" s="2" t="s">
        <v>10</v>
      </c>
      <c r="B11" s="2">
        <f>1/(1+B9*$B$6)</f>
        <v>0.86206896551724144</v>
      </c>
      <c r="C11" s="2">
        <f t="shared" ref="C11:K11" si="1">1/(1+C9*$B$6)</f>
        <v>0.75757575757575757</v>
      </c>
      <c r="D11" s="2">
        <f t="shared" si="1"/>
        <v>0.67567567567567566</v>
      </c>
      <c r="E11" s="2">
        <f t="shared" si="1"/>
        <v>0.6097560975609756</v>
      </c>
      <c r="F11" s="2">
        <f t="shared" si="1"/>
        <v>0.55555555555555558</v>
      </c>
      <c r="G11" s="2">
        <f t="shared" si="1"/>
        <v>0.51020408163265307</v>
      </c>
      <c r="H11" s="2">
        <f t="shared" si="1"/>
        <v>0.47169811320754712</v>
      </c>
      <c r="I11" s="2">
        <f t="shared" si="1"/>
        <v>0.43859649122807015</v>
      </c>
      <c r="J11" s="2">
        <f t="shared" si="1"/>
        <v>0.4098360655737705</v>
      </c>
      <c r="K11" s="2">
        <f t="shared" si="1"/>
        <v>0.38461538461538458</v>
      </c>
    </row>
    <row r="13" spans="1:11" x14ac:dyDescent="0.25">
      <c r="A13" s="2" t="s">
        <v>11</v>
      </c>
      <c r="B13" s="2">
        <f>-B2+B10*B11+C10*C11+D10*D11+E10*E11+F10*F11+G10*G11+H10*H11+I10*I11+J10*J11+K10*K11</f>
        <v>70040.833314664094</v>
      </c>
    </row>
    <row r="15" spans="1:11" x14ac:dyDescent="0.25">
      <c r="H15" s="3"/>
    </row>
  </sheetData>
  <mergeCells count="1">
    <mergeCell ref="C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Hoja7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</dc:creator>
  <cp:lastModifiedBy>PLM</cp:lastModifiedBy>
  <dcterms:created xsi:type="dcterms:W3CDTF">2019-02-14T00:34:08Z</dcterms:created>
  <dcterms:modified xsi:type="dcterms:W3CDTF">2019-03-13T23:56:10Z</dcterms:modified>
</cp:coreProperties>
</file>